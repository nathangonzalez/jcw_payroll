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 of Dec 28" state="visible" r:id="rId4"/>
    <sheet sheetId="2" name="Week of Jan 4" state="visible" r:id="rId5"/>
    <sheet sheetId="3" name="Week of Jan 11" state="visible" r:id="rId6"/>
    <sheet sheetId="4" name="Week of Jan 18" state="visible" r:id="rId7"/>
    <sheet sheetId="5" name="Week of Jan 25" state="visible" r:id="rId8"/>
    <sheet sheetId="6" name="Monthly Summary" state="visible" r:id="rId9"/>
  </sheets>
  <calcPr calcId="171027"/>
</workbook>
</file>

<file path=xl/sharedStrings.xml><?xml version="1.0" encoding="utf-8"?>
<sst xmlns="http://schemas.openxmlformats.org/spreadsheetml/2006/main" count="355" uniqueCount="73">
  <si>
    <t>Date</t>
  </si>
  <si>
    <t>Employee</t>
  </si>
  <si>
    <t>$/hr</t>
  </si>
  <si>
    <t>Hr</t>
  </si>
  <si>
    <t>Total</t>
  </si>
  <si>
    <t>Admin</t>
  </si>
  <si>
    <t>Jones</t>
  </si>
  <si>
    <t>Ueltschi</t>
  </si>
  <si>
    <t>2026-01-02</t>
  </si>
  <si>
    <t>Doug Kinsey</t>
  </si>
  <si>
    <t>Chris Jacobi</t>
  </si>
  <si>
    <t/>
  </si>
  <si>
    <t>Subtotal (Hourly)</t>
  </si>
  <si>
    <t>Subtotal (Office)</t>
  </si>
  <si>
    <t>Office (Admin)</t>
  </si>
  <si>
    <t>WEEK TOTAL</t>
  </si>
  <si>
    <t>Caputo</t>
  </si>
  <si>
    <t>Davis</t>
  </si>
  <si>
    <t>2026-01-09</t>
  </si>
  <si>
    <t>2026-01-07</t>
  </si>
  <si>
    <t>Goodrich</t>
  </si>
  <si>
    <t>Muncey (Maint. Items)</t>
  </si>
  <si>
    <t>2026-01-08</t>
  </si>
  <si>
    <t>2026-01-05</t>
  </si>
  <si>
    <t>Patton</t>
  </si>
  <si>
    <t>Lynn</t>
  </si>
  <si>
    <t>2026-01-06</t>
  </si>
  <si>
    <t>Ricca</t>
  </si>
  <si>
    <t>Total Hours on Insp.</t>
  </si>
  <si>
    <t>Welles</t>
  </si>
  <si>
    <t>Bahin</t>
  </si>
  <si>
    <t>Funke</t>
  </si>
  <si>
    <t>2026-01-14</t>
  </si>
  <si>
    <t>Lucas</t>
  </si>
  <si>
    <t>Hall</t>
  </si>
  <si>
    <t>2026-01-13</t>
  </si>
  <si>
    <t>2026-01-12</t>
  </si>
  <si>
    <t>McClure (Maint. Items)</t>
  </si>
  <si>
    <t>2026-01-15</t>
  </si>
  <si>
    <t>2026-01-16</t>
  </si>
  <si>
    <t>McGill</t>
  </si>
  <si>
    <t>Nagel</t>
  </si>
  <si>
    <t>Bottomley</t>
  </si>
  <si>
    <t>Knight</t>
  </si>
  <si>
    <t>2026-01-22</t>
  </si>
  <si>
    <t>2026-01-19</t>
  </si>
  <si>
    <t>McClure</t>
  </si>
  <si>
    <t>Keevil</t>
  </si>
  <si>
    <t>2026-01-20</t>
  </si>
  <si>
    <t>2026-01-21</t>
  </si>
  <si>
    <t>Moulton</t>
  </si>
  <si>
    <t>2026-01-23</t>
  </si>
  <si>
    <t>Smith</t>
  </si>
  <si>
    <t>TOTAL:</t>
  </si>
  <si>
    <t>Varricchio</t>
  </si>
  <si>
    <t>Caputo (Maint Items)</t>
  </si>
  <si>
    <t>Caputo (Insp.)</t>
  </si>
  <si>
    <t>2026-01-28</t>
  </si>
  <si>
    <t>Funke (Maint Items)</t>
  </si>
  <si>
    <t>2026-01-26</t>
  </si>
  <si>
    <t>2026-01-27</t>
  </si>
  <si>
    <t>Hopkins</t>
  </si>
  <si>
    <t>2026-01-30</t>
  </si>
  <si>
    <t>2026-01-29</t>
  </si>
  <si>
    <t>McFarland</t>
  </si>
  <si>
    <t>Monthly Summary - 2026-01</t>
  </si>
  <si>
    <t>Week</t>
  </si>
  <si>
    <t>Week of Dec 28</t>
  </si>
  <si>
    <t>Week of Jan 4</t>
  </si>
  <si>
    <t>Week of Jan 11</t>
  </si>
  <si>
    <t>Week of Jan 18</t>
  </si>
  <si>
    <t>Week of Jan 25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</si>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</sst>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64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164" fontId="1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2" fillId="6" borderId="0" xfId="0" applyFont="1" applyFill="1"/>
    <xf numFmtId="0" fontId="3" fillId="6" borderId="0" xfId="0" applyFont="1" applyFill="1"/>
    <xf numFmtId="164" fontId="2" fillId="6" borderId="0" xfId="0" applyNumberFormat="1" applyFont="1" applyFill="1"/>
    <xf numFmtId="164" fontId="3" fillId="6" borderId="0" xfId="0" applyNumberFormat="1" applyFont="1" applyFill="1"/>
    <xf numFmtId="164" fontId="1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G1" s="2" t="s">
        <v>0</v>
      </c>
      <c r="H1" s="2" t="s">
        <v>5</v>
      </c>
      <c r="I1" s="5" t="s">
        <v>2</v>
      </c>
      <c r="J1" s="2" t="s">
        <v>3</v>
      </c>
      <c r="K1" s="5" t="s">
        <v>4</v>
      </c>
    </row>
    <row r="2" spans="1:11" s="6" customFormat="1" x14ac:dyDescent="0.25">
      <c r="A2" s="6" t="s">
        <v>6</v>
      </c>
      <c r="B2" s="6"/>
      <c r="C2" s="6"/>
      <c r="D2" s="6"/>
      <c r="E2" s="6"/>
      <c r="G2" s="6" t="s">
        <v>7</v>
      </c>
      <c r="H2" s="6"/>
      <c r="I2" s="6"/>
      <c r="J2" s="6"/>
      <c r="K2" s="6"/>
    </row>
    <row r="3" spans="1:11" x14ac:dyDescent="0.25">
      <c r="A3" t="s">
        <v>8</v>
      </c>
      <c r="B3" t="s">
        <v>9</v>
      </c>
      <c r="C3" s="1">
        <v>65</v>
      </c>
      <c r="D3">
        <v>8.5</v>
      </c>
      <c r="E3" s="1">
        <f>C3*D3</f>
      </c>
      <c r="G3" t="s">
        <v>8</v>
      </c>
      <c r="H3" t="s">
        <v>10</v>
      </c>
      <c r="I3" s="1">
        <v>85</v>
      </c>
      <c r="J3">
        <v>6.5</v>
      </c>
      <c r="K3" s="1">
        <f>I3*J3</f>
      </c>
    </row>
    <row r="4" spans="1:5" s="7" customFormat="1" x14ac:dyDescent="0.25">
      <c r="A4" s="7" t="s">
        <v>11</v>
      </c>
      <c r="B4" s="7" t="s">
        <v>11</v>
      </c>
      <c r="C4" s="8" t="s">
        <v>11</v>
      </c>
      <c r="D4" s="7" t="s">
        <v>11</v>
      </c>
      <c r="E4" s="8">
        <f>SUM(E3:E3)</f>
      </c>
    </row>
    <row r="6" spans="1:11" s="9" customFormat="1" x14ac:dyDescent="0.25">
      <c r="A6" s="9" t="s">
        <v>12</v>
      </c>
      <c r="B6" s="9" t="s">
        <v>11</v>
      </c>
      <c r="C6" s="10" t="s">
        <v>11</v>
      </c>
      <c r="D6" s="9" t="s">
        <v>11</v>
      </c>
      <c r="E6" s="10">
        <v>552.5</v>
      </c>
      <c r="G6" s="9" t="s">
        <v>13</v>
      </c>
      <c r="K6" s="10">
        <v>552.5</v>
      </c>
    </row>
    <row r="7" spans="1:5" s="9" customFormat="1" x14ac:dyDescent="0.25">
      <c r="A7" s="9" t="s">
        <v>14</v>
      </c>
      <c r="B7" s="9" t="s">
        <v>11</v>
      </c>
      <c r="C7" s="10" t="s">
        <v>11</v>
      </c>
      <c r="D7" s="9" t="s">
        <v>11</v>
      </c>
      <c r="E7" s="10">
        <v>552.5</v>
      </c>
    </row>
    <row r="8" spans="1:5" s="11" customFormat="1" x14ac:dyDescent="0.25">
      <c r="A8" s="12" t="s">
        <v>15</v>
      </c>
      <c r="B8" s="11" t="s">
        <v>11</v>
      </c>
      <c r="C8" s="13" t="s">
        <v>11</v>
      </c>
      <c r="D8" s="11" t="s">
        <v>11</v>
      </c>
      <c r="E8" s="14">
        <v>1105</v>
      </c>
    </row>
  </sheetData>
  <mergeCells count="2">
    <mergeCell ref="A2:E2"/>
    <mergeCell ref="G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G1" s="2" t="s">
        <v>0</v>
      </c>
      <c r="H1" s="2" t="s">
        <v>5</v>
      </c>
      <c r="I1" s="5" t="s">
        <v>2</v>
      </c>
      <c r="J1" s="2" t="s">
        <v>3</v>
      </c>
      <c r="K1" s="5" t="s">
        <v>4</v>
      </c>
    </row>
    <row r="2" spans="1:11" s="6" customFormat="1" x14ac:dyDescent="0.25">
      <c r="A2" s="6" t="s">
        <v>16</v>
      </c>
      <c r="B2" s="6"/>
      <c r="C2" s="6"/>
      <c r="D2" s="6"/>
      <c r="E2" s="6"/>
      <c r="G2" s="6" t="s">
        <v>17</v>
      </c>
      <c r="H2" s="6"/>
      <c r="I2" s="6"/>
      <c r="J2" s="6"/>
      <c r="K2" s="6"/>
    </row>
    <row r="3" spans="1:11" x14ac:dyDescent="0.25">
      <c r="A3" t="s">
        <v>18</v>
      </c>
      <c r="B3" t="s">
        <v>9</v>
      </c>
      <c r="C3" s="1">
        <v>65</v>
      </c>
      <c r="D3">
        <v>10</v>
      </c>
      <c r="E3" s="1">
        <f>C3*D3</f>
      </c>
      <c r="G3" t="s">
        <v>19</v>
      </c>
      <c r="H3" t="s">
        <v>10</v>
      </c>
      <c r="I3" s="1">
        <v>100</v>
      </c>
      <c r="J3">
        <v>8.5</v>
      </c>
      <c r="K3" s="1">
        <f>I3*J3</f>
      </c>
    </row>
    <row r="4" spans="1:5" s="7" customFormat="1" x14ac:dyDescent="0.25">
      <c r="A4" s="7" t="s">
        <v>11</v>
      </c>
      <c r="B4" s="7" t="s">
        <v>11</v>
      </c>
      <c r="C4" s="8" t="s">
        <v>11</v>
      </c>
      <c r="D4" s="7" t="s">
        <v>11</v>
      </c>
      <c r="E4" s="8">
        <f>SUM(E3:E3)</f>
      </c>
    </row>
    <row r="5" spans="7:11" x14ac:dyDescent="0.25">
      <c r="G5" s="6" t="s">
        <v>20</v>
      </c>
      <c r="H5" s="6"/>
      <c r="I5" s="6"/>
      <c r="J5" s="6"/>
      <c r="K5" s="6"/>
    </row>
    <row r="6" spans="1:11" s="6" customFormat="1" x14ac:dyDescent="0.25">
      <c r="A6" s="6" t="s">
        <v>21</v>
      </c>
      <c r="B6" s="6"/>
      <c r="C6" s="6"/>
      <c r="D6" s="6"/>
      <c r="E6" s="6"/>
      <c r="G6" s="6" t="s">
        <v>22</v>
      </c>
      <c r="H6" s="6" t="s">
        <v>10</v>
      </c>
      <c r="I6" s="15">
        <v>100</v>
      </c>
      <c r="J6" s="6">
        <v>9</v>
      </c>
      <c r="K6" s="15">
        <f>I6*J6</f>
      </c>
    </row>
    <row r="7" spans="1:5" x14ac:dyDescent="0.25">
      <c r="A7" t="s">
        <v>23</v>
      </c>
      <c r="B7" t="s">
        <v>9</v>
      </c>
      <c r="C7" s="1">
        <v>65</v>
      </c>
      <c r="D7">
        <v>10.5</v>
      </c>
      <c r="E7" s="1">
        <f>C7*D7</f>
      </c>
    </row>
    <row r="8" spans="1:11" s="7" customFormat="1" x14ac:dyDescent="0.25">
      <c r="A8" s="7" t="s">
        <v>11</v>
      </c>
      <c r="B8" s="7" t="s">
        <v>11</v>
      </c>
      <c r="C8" s="8" t="s">
        <v>11</v>
      </c>
      <c r="D8" s="7" t="s">
        <v>11</v>
      </c>
      <c r="E8" s="8">
        <f>SUM(E7:E7)</f>
      </c>
      <c r="G8" s="6" t="s">
        <v>6</v>
      </c>
      <c r="H8" s="6"/>
      <c r="I8" s="6"/>
      <c r="J8" s="6"/>
      <c r="K8" s="6"/>
    </row>
    <row r="9" spans="7:11" x14ac:dyDescent="0.25">
      <c r="G9" t="s">
        <v>23</v>
      </c>
      <c r="H9" t="s">
        <v>10</v>
      </c>
      <c r="I9" s="1">
        <v>100</v>
      </c>
      <c r="J9">
        <v>9.5</v>
      </c>
      <c r="K9" s="1">
        <f>I9*J9</f>
      </c>
    </row>
    <row r="10" spans="1:5" s="6" customFormat="1" x14ac:dyDescent="0.25">
      <c r="A10" s="6" t="s">
        <v>24</v>
      </c>
      <c r="B10" s="6"/>
      <c r="C10" s="6"/>
      <c r="D10" s="6"/>
      <c r="E10" s="6"/>
    </row>
    <row r="11" spans="1:11" x14ac:dyDescent="0.25">
      <c r="A11" t="s">
        <v>19</v>
      </c>
      <c r="B11" t="s">
        <v>9</v>
      </c>
      <c r="C11" s="1">
        <v>65</v>
      </c>
      <c r="D11">
        <v>8</v>
      </c>
      <c r="E11" s="1">
        <f>C11*D11</f>
      </c>
      <c r="G11" s="6" t="s">
        <v>25</v>
      </c>
      <c r="H11" s="6"/>
      <c r="I11" s="6"/>
      <c r="J11" s="6"/>
      <c r="K11" s="6"/>
    </row>
    <row r="12" spans="1:11" s="7" customFormat="1" x14ac:dyDescent="0.25">
      <c r="A12" s="7" t="s">
        <v>11</v>
      </c>
      <c r="B12" s="7" t="s">
        <v>11</v>
      </c>
      <c r="C12" s="8" t="s">
        <v>11</v>
      </c>
      <c r="D12" s="7" t="s">
        <v>11</v>
      </c>
      <c r="E12" s="8">
        <f>SUM(E11:E11)</f>
      </c>
      <c r="G12" s="7" t="s">
        <v>26</v>
      </c>
      <c r="H12" s="7" t="s">
        <v>10</v>
      </c>
      <c r="I12" s="8">
        <v>90</v>
      </c>
      <c r="J12" s="7">
        <v>7.5</v>
      </c>
      <c r="K12" s="8">
        <f>I12*J12</f>
      </c>
    </row>
    <row r="14" spans="1:11" s="6" customFormat="1" x14ac:dyDescent="0.25">
      <c r="A14" s="6" t="s">
        <v>27</v>
      </c>
      <c r="B14" s="6"/>
      <c r="C14" s="6"/>
      <c r="D14" s="6"/>
      <c r="E14" s="6"/>
      <c r="G14" s="6" t="s">
        <v>28</v>
      </c>
      <c r="H14" s="6"/>
      <c r="I14" s="6"/>
      <c r="J14" s="6"/>
      <c r="K14" s="6"/>
    </row>
    <row r="15" spans="1:11" x14ac:dyDescent="0.25">
      <c r="A15" t="s">
        <v>26</v>
      </c>
      <c r="B15" t="s">
        <v>9</v>
      </c>
      <c r="C15" s="1">
        <v>65</v>
      </c>
      <c r="D15">
        <v>10</v>
      </c>
      <c r="E15" s="1">
        <f>C15*D15</f>
      </c>
      <c r="G15" t="s">
        <v>18</v>
      </c>
      <c r="H15" t="s">
        <v>10</v>
      </c>
      <c r="I15" s="1">
        <v>100</v>
      </c>
      <c r="J15">
        <v>8</v>
      </c>
      <c r="K15" s="1">
        <f>I15*J15</f>
      </c>
    </row>
    <row r="16" spans="1:5" s="7" customFormat="1" x14ac:dyDescent="0.25">
      <c r="A16" s="7" t="s">
        <v>11</v>
      </c>
      <c r="B16" s="7" t="s">
        <v>11</v>
      </c>
      <c r="C16" s="8" t="s">
        <v>11</v>
      </c>
      <c r="D16" s="7" t="s">
        <v>11</v>
      </c>
      <c r="E16" s="8">
        <f>SUM(E15:E15)</f>
      </c>
    </row>
    <row r="18" spans="1:11" s="9" customFormat="1" x14ac:dyDescent="0.25">
      <c r="A18" s="9" t="s">
        <v>29</v>
      </c>
      <c r="B18" s="9"/>
      <c r="C18" s="9"/>
      <c r="D18" s="9"/>
      <c r="E18" s="9"/>
      <c r="G18" s="9" t="s">
        <v>13</v>
      </c>
      <c r="K18" s="10">
        <v>4175</v>
      </c>
    </row>
    <row r="19" spans="1:5" x14ac:dyDescent="0.25">
      <c r="A19" t="s">
        <v>22</v>
      </c>
      <c r="B19" t="s">
        <v>9</v>
      </c>
      <c r="C19" s="1">
        <v>65</v>
      </c>
      <c r="D19">
        <v>10</v>
      </c>
      <c r="E19" s="1">
        <f>C19*D19</f>
      </c>
    </row>
    <row r="20" spans="1:5" s="7" customFormat="1" x14ac:dyDescent="0.25">
      <c r="A20" s="7" t="s">
        <v>11</v>
      </c>
      <c r="B20" s="7" t="s">
        <v>11</v>
      </c>
      <c r="C20" s="8" t="s">
        <v>11</v>
      </c>
      <c r="D20" s="7" t="s">
        <v>11</v>
      </c>
      <c r="E20" s="8">
        <f>SUM(E19:E19)</f>
      </c>
    </row>
    <row r="22" spans="1:5" s="3" customFormat="1" x14ac:dyDescent="0.25">
      <c r="A22" s="3" t="s">
        <v>12</v>
      </c>
      <c r="B22" s="3" t="s">
        <v>11</v>
      </c>
      <c r="C22" s="4" t="s">
        <v>11</v>
      </c>
      <c r="D22" s="3" t="s">
        <v>11</v>
      </c>
      <c r="E22" s="4">
        <v>3152.5</v>
      </c>
    </row>
    <row r="23" spans="1:5" s="9" customFormat="1" x14ac:dyDescent="0.25">
      <c r="A23" s="9" t="s">
        <v>14</v>
      </c>
      <c r="B23" s="9" t="s">
        <v>11</v>
      </c>
      <c r="C23" s="10" t="s">
        <v>11</v>
      </c>
      <c r="D23" s="9" t="s">
        <v>11</v>
      </c>
      <c r="E23" s="10">
        <v>4175</v>
      </c>
    </row>
    <row r="24" spans="1:5" s="11" customFormat="1" x14ac:dyDescent="0.25">
      <c r="A24" s="12" t="s">
        <v>15</v>
      </c>
      <c r="B24" s="11" t="s">
        <v>11</v>
      </c>
      <c r="C24" s="13" t="s">
        <v>11</v>
      </c>
      <c r="D24" s="11" t="s">
        <v>11</v>
      </c>
      <c r="E24" s="14">
        <v>7327.5</v>
      </c>
    </row>
  </sheetData>
  <mergeCells count="10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G1" s="2" t="s">
        <v>0</v>
      </c>
      <c r="H1" s="2" t="s">
        <v>5</v>
      </c>
      <c r="I1" s="5" t="s">
        <v>2</v>
      </c>
      <c r="J1" s="2" t="s">
        <v>3</v>
      </c>
      <c r="K1" s="5" t="s">
        <v>4</v>
      </c>
    </row>
    <row r="2" spans="1:11" s="6" customFormat="1" x14ac:dyDescent="0.25">
      <c r="A2" s="6" t="s">
        <v>30</v>
      </c>
      <c r="B2" s="6"/>
      <c r="C2" s="6"/>
      <c r="D2" s="6"/>
      <c r="E2" s="6"/>
      <c r="G2" s="6" t="s">
        <v>31</v>
      </c>
      <c r="H2" s="6"/>
      <c r="I2" s="6"/>
      <c r="J2" s="6"/>
      <c r="K2" s="6"/>
    </row>
    <row r="3" spans="1:11" x14ac:dyDescent="0.25">
      <c r="A3" t="s">
        <v>32</v>
      </c>
      <c r="B3" t="s">
        <v>9</v>
      </c>
      <c r="C3" s="1">
        <v>65</v>
      </c>
      <c r="D3">
        <v>10.5</v>
      </c>
      <c r="E3" s="1">
        <f>C3*D3</f>
      </c>
      <c r="G3" t="s">
        <v>32</v>
      </c>
      <c r="H3" t="s">
        <v>10</v>
      </c>
      <c r="I3" s="1">
        <v>100</v>
      </c>
      <c r="J3">
        <v>7</v>
      </c>
      <c r="K3" s="1">
        <f>I3*J3</f>
      </c>
    </row>
    <row r="4" spans="1:5" s="7" customFormat="1" x14ac:dyDescent="0.25">
      <c r="A4" s="7" t="s">
        <v>11</v>
      </c>
      <c r="B4" s="7" t="s">
        <v>11</v>
      </c>
      <c r="C4" s="8" t="s">
        <v>11</v>
      </c>
      <c r="D4" s="7" t="s">
        <v>11</v>
      </c>
      <c r="E4" s="8">
        <f>SUM(E3:E3)</f>
      </c>
    </row>
    <row r="5" spans="7:11" x14ac:dyDescent="0.25">
      <c r="G5" s="6" t="s">
        <v>33</v>
      </c>
      <c r="H5" s="6"/>
      <c r="I5" s="6"/>
      <c r="J5" s="6"/>
      <c r="K5" s="6"/>
    </row>
    <row r="6" spans="1:11" s="6" customFormat="1" x14ac:dyDescent="0.25">
      <c r="A6" s="6" t="s">
        <v>34</v>
      </c>
      <c r="B6" s="6"/>
      <c r="C6" s="6"/>
      <c r="D6" s="6"/>
      <c r="E6" s="6"/>
      <c r="G6" s="6" t="s">
        <v>35</v>
      </c>
      <c r="H6" s="6" t="s">
        <v>10</v>
      </c>
      <c r="I6" s="15">
        <v>100</v>
      </c>
      <c r="J6" s="6">
        <v>6.5</v>
      </c>
      <c r="K6" s="15">
        <f>I6*J6</f>
      </c>
    </row>
    <row r="7" spans="1:5" x14ac:dyDescent="0.25">
      <c r="A7" t="s">
        <v>36</v>
      </c>
      <c r="B7" t="s">
        <v>9</v>
      </c>
      <c r="C7" s="1">
        <v>65</v>
      </c>
      <c r="D7">
        <v>10.5</v>
      </c>
      <c r="E7" s="1">
        <f>C7*D7</f>
      </c>
    </row>
    <row r="8" spans="1:11" s="7" customFormat="1" x14ac:dyDescent="0.25">
      <c r="A8" s="7" t="s">
        <v>11</v>
      </c>
      <c r="B8" s="7" t="s">
        <v>11</v>
      </c>
      <c r="C8" s="8" t="s">
        <v>11</v>
      </c>
      <c r="D8" s="7" t="s">
        <v>11</v>
      </c>
      <c r="E8" s="8">
        <f>SUM(E7:E7)</f>
      </c>
      <c r="G8" s="6" t="s">
        <v>37</v>
      </c>
      <c r="H8" s="6"/>
      <c r="I8" s="6"/>
      <c r="J8" s="6"/>
      <c r="K8" s="6"/>
    </row>
    <row r="9" spans="7:11" x14ac:dyDescent="0.25">
      <c r="G9" t="s">
        <v>38</v>
      </c>
      <c r="H9" t="s">
        <v>10</v>
      </c>
      <c r="I9" s="1">
        <v>100</v>
      </c>
      <c r="J9">
        <v>7</v>
      </c>
      <c r="K9" s="1">
        <f>I9*J9</f>
      </c>
    </row>
    <row r="10" spans="1:5" s="6" customFormat="1" x14ac:dyDescent="0.25">
      <c r="A10" s="6" t="s">
        <v>33</v>
      </c>
      <c r="B10" s="6"/>
      <c r="C10" s="6"/>
      <c r="D10" s="6"/>
      <c r="E10" s="6"/>
    </row>
    <row r="11" spans="1:11" x14ac:dyDescent="0.25">
      <c r="A11" t="s">
        <v>39</v>
      </c>
      <c r="B11" t="s">
        <v>9</v>
      </c>
      <c r="C11" s="1">
        <v>65</v>
      </c>
      <c r="D11">
        <v>9</v>
      </c>
      <c r="E11" s="1">
        <f>C11*D11</f>
      </c>
      <c r="G11" s="6" t="s">
        <v>40</v>
      </c>
      <c r="H11" s="6"/>
      <c r="I11" s="6"/>
      <c r="J11" s="6"/>
      <c r="K11" s="6"/>
    </row>
    <row r="12" spans="1:11" s="7" customFormat="1" x14ac:dyDescent="0.25">
      <c r="A12" s="7" t="s">
        <v>11</v>
      </c>
      <c r="B12" s="7" t="s">
        <v>11</v>
      </c>
      <c r="C12" s="8" t="s">
        <v>11</v>
      </c>
      <c r="D12" s="7" t="s">
        <v>11</v>
      </c>
      <c r="E12" s="8">
        <f>SUM(E11:E11)</f>
      </c>
      <c r="G12" s="7" t="s">
        <v>39</v>
      </c>
      <c r="H12" s="7" t="s">
        <v>10</v>
      </c>
      <c r="I12" s="8">
        <v>90</v>
      </c>
      <c r="J12" s="7">
        <v>7.5</v>
      </c>
      <c r="K12" s="8">
        <f>I12*J12</f>
      </c>
    </row>
    <row r="14" spans="1:11" s="6" customFormat="1" x14ac:dyDescent="0.25">
      <c r="A14" s="6" t="s">
        <v>25</v>
      </c>
      <c r="B14" s="6"/>
      <c r="C14" s="6"/>
      <c r="D14" s="6"/>
      <c r="E14" s="6"/>
      <c r="G14" s="6" t="s">
        <v>41</v>
      </c>
      <c r="H14" s="6"/>
      <c r="I14" s="6"/>
      <c r="J14" s="6"/>
      <c r="K14" s="6"/>
    </row>
    <row r="15" spans="1:11" x14ac:dyDescent="0.25">
      <c r="A15" t="s">
        <v>38</v>
      </c>
      <c r="B15" t="s">
        <v>9</v>
      </c>
      <c r="C15" s="1">
        <v>65</v>
      </c>
      <c r="D15">
        <v>11</v>
      </c>
      <c r="E15" s="1">
        <f>C15*D15</f>
      </c>
      <c r="G15" t="s">
        <v>36</v>
      </c>
      <c r="H15" t="s">
        <v>10</v>
      </c>
      <c r="I15" s="1">
        <v>100</v>
      </c>
      <c r="J15">
        <v>8.5</v>
      </c>
      <c r="K15" s="1">
        <f>I15*J15</f>
      </c>
    </row>
    <row r="16" spans="1:5" s="7" customFormat="1" x14ac:dyDescent="0.25">
      <c r="A16" s="7" t="s">
        <v>11</v>
      </c>
      <c r="B16" s="7" t="s">
        <v>11</v>
      </c>
      <c r="C16" s="8" t="s">
        <v>11</v>
      </c>
      <c r="D16" s="7" t="s">
        <v>11</v>
      </c>
      <c r="E16" s="8">
        <f>SUM(E15:E15)</f>
      </c>
    </row>
    <row r="18" spans="1:11" s="9" customFormat="1" x14ac:dyDescent="0.25">
      <c r="A18" s="9" t="s">
        <v>24</v>
      </c>
      <c r="B18" s="9"/>
      <c r="C18" s="9"/>
      <c r="D18" s="9"/>
      <c r="E18" s="9"/>
      <c r="G18" s="9" t="s">
        <v>13</v>
      </c>
      <c r="K18" s="10">
        <v>3575</v>
      </c>
    </row>
    <row r="19" spans="1:5" x14ac:dyDescent="0.25">
      <c r="A19" t="s">
        <v>35</v>
      </c>
      <c r="B19" t="s">
        <v>9</v>
      </c>
      <c r="C19" s="1">
        <v>65</v>
      </c>
      <c r="D19">
        <v>8.5</v>
      </c>
      <c r="E19" s="1">
        <f>C19*D19</f>
      </c>
    </row>
    <row r="20" spans="1:5" s="7" customFormat="1" x14ac:dyDescent="0.25">
      <c r="A20" s="7" t="s">
        <v>11</v>
      </c>
      <c r="B20" s="7" t="s">
        <v>11</v>
      </c>
      <c r="C20" s="8" t="s">
        <v>11</v>
      </c>
      <c r="D20" s="7" t="s">
        <v>11</v>
      </c>
      <c r="E20" s="8">
        <f>SUM(E19:E19)</f>
      </c>
    </row>
    <row r="22" spans="1:5" s="3" customFormat="1" x14ac:dyDescent="0.25">
      <c r="A22" s="3" t="s">
        <v>12</v>
      </c>
      <c r="B22" s="3" t="s">
        <v>11</v>
      </c>
      <c r="C22" s="4" t="s">
        <v>11</v>
      </c>
      <c r="D22" s="3" t="s">
        <v>11</v>
      </c>
      <c r="E22" s="4">
        <v>3217.5</v>
      </c>
    </row>
    <row r="23" spans="1:5" s="9" customFormat="1" x14ac:dyDescent="0.25">
      <c r="A23" s="9" t="s">
        <v>14</v>
      </c>
      <c r="B23" s="9" t="s">
        <v>11</v>
      </c>
      <c r="C23" s="10" t="s">
        <v>11</v>
      </c>
      <c r="D23" s="9" t="s">
        <v>11</v>
      </c>
      <c r="E23" s="10">
        <v>3575</v>
      </c>
    </row>
    <row r="24" spans="1:5" s="11" customFormat="1" x14ac:dyDescent="0.25">
      <c r="A24" s="12" t="s">
        <v>15</v>
      </c>
      <c r="B24" s="11" t="s">
        <v>11</v>
      </c>
      <c r="C24" s="13" t="s">
        <v>11</v>
      </c>
      <c r="D24" s="11" t="s">
        <v>11</v>
      </c>
      <c r="E24" s="14">
        <v>6792.5</v>
      </c>
    </row>
  </sheetData>
  <mergeCells count="10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G1" s="2" t="s">
        <v>0</v>
      </c>
      <c r="H1" s="2" t="s">
        <v>5</v>
      </c>
      <c r="I1" s="5" t="s">
        <v>2</v>
      </c>
      <c r="J1" s="2" t="s">
        <v>3</v>
      </c>
      <c r="K1" s="5" t="s">
        <v>4</v>
      </c>
    </row>
    <row r="2" spans="1:11" s="6" customFormat="1" x14ac:dyDescent="0.25">
      <c r="A2" s="6" t="s">
        <v>42</v>
      </c>
      <c r="B2" s="6"/>
      <c r="C2" s="6"/>
      <c r="D2" s="6"/>
      <c r="E2" s="6"/>
      <c r="G2" s="6" t="s">
        <v>43</v>
      </c>
      <c r="H2" s="6"/>
      <c r="I2" s="6"/>
      <c r="J2" s="6"/>
      <c r="K2" s="6"/>
    </row>
    <row r="3" spans="1:11" x14ac:dyDescent="0.25">
      <c r="A3" t="s">
        <v>44</v>
      </c>
      <c r="B3" t="s">
        <v>9</v>
      </c>
      <c r="C3" s="1">
        <v>65</v>
      </c>
      <c r="D3">
        <v>9</v>
      </c>
      <c r="E3" s="1">
        <f>C3*D3</f>
      </c>
      <c r="G3" t="s">
        <v>45</v>
      </c>
      <c r="H3" t="s">
        <v>10</v>
      </c>
      <c r="I3" s="1">
        <v>100</v>
      </c>
      <c r="J3">
        <v>9.5</v>
      </c>
      <c r="K3" s="1">
        <f>I3*J3</f>
      </c>
    </row>
    <row r="4" spans="1:5" s="7" customFormat="1" x14ac:dyDescent="0.25">
      <c r="A4" s="7" t="s">
        <v>11</v>
      </c>
      <c r="B4" s="7" t="s">
        <v>11</v>
      </c>
      <c r="C4" s="8" t="s">
        <v>11</v>
      </c>
      <c r="D4" s="7" t="s">
        <v>11</v>
      </c>
      <c r="E4" s="8">
        <f>SUM(E3:E3)</f>
      </c>
    </row>
    <row r="5" spans="7:11" x14ac:dyDescent="0.25">
      <c r="G5" s="6" t="s">
        <v>46</v>
      </c>
      <c r="H5" s="6"/>
      <c r="I5" s="6"/>
      <c r="J5" s="6"/>
      <c r="K5" s="6"/>
    </row>
    <row r="6" spans="1:11" s="6" customFormat="1" x14ac:dyDescent="0.25">
      <c r="A6" s="6" t="s">
        <v>47</v>
      </c>
      <c r="B6" s="6"/>
      <c r="C6" s="6"/>
      <c r="D6" s="6"/>
      <c r="E6" s="6"/>
      <c r="G6" s="6" t="s">
        <v>48</v>
      </c>
      <c r="H6" s="6" t="s">
        <v>10</v>
      </c>
      <c r="I6" s="15">
        <v>100</v>
      </c>
      <c r="J6" s="6">
        <v>7</v>
      </c>
      <c r="K6" s="15">
        <f>I6*J6</f>
      </c>
    </row>
    <row r="7" spans="1:5" x14ac:dyDescent="0.25">
      <c r="A7" t="s">
        <v>45</v>
      </c>
      <c r="B7" t="s">
        <v>9</v>
      </c>
      <c r="C7" s="1">
        <v>65</v>
      </c>
      <c r="D7">
        <v>8</v>
      </c>
      <c r="E7" s="1">
        <f>C7*D7</f>
      </c>
    </row>
    <row r="8" spans="1:11" s="7" customFormat="1" x14ac:dyDescent="0.25">
      <c r="A8" s="7" t="s">
        <v>11</v>
      </c>
      <c r="B8" s="7" t="s">
        <v>11</v>
      </c>
      <c r="C8" s="8" t="s">
        <v>11</v>
      </c>
      <c r="D8" s="7" t="s">
        <v>11</v>
      </c>
      <c r="E8" s="8">
        <f>SUM(E7:E7)</f>
      </c>
      <c r="G8" s="6" t="s">
        <v>40</v>
      </c>
      <c r="H8" s="6"/>
      <c r="I8" s="6"/>
      <c r="J8" s="6"/>
      <c r="K8" s="6"/>
    </row>
    <row r="9" spans="7:11" x14ac:dyDescent="0.25">
      <c r="G9" t="s">
        <v>49</v>
      </c>
      <c r="H9" t="s">
        <v>10</v>
      </c>
      <c r="I9" s="1">
        <v>90</v>
      </c>
      <c r="J9">
        <v>7</v>
      </c>
      <c r="K9" s="1">
        <f>I9*J9</f>
      </c>
    </row>
    <row r="10" spans="1:5" s="6" customFormat="1" x14ac:dyDescent="0.25">
      <c r="A10" s="6" t="s">
        <v>40</v>
      </c>
      <c r="B10" s="6"/>
      <c r="C10" s="6"/>
      <c r="D10" s="6"/>
      <c r="E10" s="6"/>
    </row>
    <row r="11" spans="1:11" x14ac:dyDescent="0.25">
      <c r="A11" t="s">
        <v>48</v>
      </c>
      <c r="B11" t="s">
        <v>9</v>
      </c>
      <c r="C11" s="1">
        <v>65</v>
      </c>
      <c r="D11">
        <v>9.5</v>
      </c>
      <c r="E11" s="1">
        <f>C11*D11</f>
      </c>
      <c r="G11" s="6" t="s">
        <v>50</v>
      </c>
      <c r="H11" s="6"/>
      <c r="I11" s="6"/>
      <c r="J11" s="6"/>
      <c r="K11" s="6"/>
    </row>
    <row r="12" spans="1:11" s="7" customFormat="1" x14ac:dyDescent="0.25">
      <c r="A12" s="7" t="s">
        <v>11</v>
      </c>
      <c r="B12" s="7" t="s">
        <v>11</v>
      </c>
      <c r="C12" s="8" t="s">
        <v>11</v>
      </c>
      <c r="D12" s="7" t="s">
        <v>11</v>
      </c>
      <c r="E12" s="8">
        <f>SUM(E11:E11)</f>
      </c>
      <c r="G12" s="7" t="s">
        <v>51</v>
      </c>
      <c r="H12" s="7" t="s">
        <v>10</v>
      </c>
      <c r="I12" s="8">
        <v>100</v>
      </c>
      <c r="J12" s="7">
        <v>8</v>
      </c>
      <c r="K12" s="8">
        <f>I12*J12</f>
      </c>
    </row>
    <row r="14" spans="1:11" s="6" customFormat="1" x14ac:dyDescent="0.25">
      <c r="A14" s="6" t="s">
        <v>52</v>
      </c>
      <c r="B14" s="6"/>
      <c r="C14" s="6"/>
      <c r="D14" s="6"/>
      <c r="E14" s="6"/>
      <c r="G14" s="6" t="s">
        <v>53</v>
      </c>
      <c r="H14" s="6"/>
      <c r="I14" s="6"/>
      <c r="J14" s="6"/>
      <c r="K14" s="6"/>
    </row>
    <row r="15" spans="1:11" x14ac:dyDescent="0.25">
      <c r="A15" t="s">
        <v>49</v>
      </c>
      <c r="B15" t="s">
        <v>9</v>
      </c>
      <c r="C15" s="1">
        <v>65</v>
      </c>
      <c r="D15">
        <v>9</v>
      </c>
      <c r="E15" s="1">
        <f>C15*D15</f>
      </c>
      <c r="G15" t="s">
        <v>44</v>
      </c>
      <c r="H15" t="s">
        <v>10</v>
      </c>
      <c r="I15" s="1">
        <v>100</v>
      </c>
      <c r="J15">
        <v>6.5</v>
      </c>
      <c r="K15" s="1">
        <f>I15*J15</f>
      </c>
    </row>
    <row r="16" spans="1:5" s="7" customFormat="1" x14ac:dyDescent="0.25">
      <c r="A16" s="7" t="s">
        <v>11</v>
      </c>
      <c r="B16" s="7" t="s">
        <v>11</v>
      </c>
      <c r="C16" s="8" t="s">
        <v>11</v>
      </c>
      <c r="D16" s="7" t="s">
        <v>11</v>
      </c>
      <c r="E16" s="8">
        <f>SUM(E15:E15)</f>
      </c>
    </row>
    <row r="18" spans="1:11" s="9" customFormat="1" x14ac:dyDescent="0.25">
      <c r="A18" s="9" t="s">
        <v>54</v>
      </c>
      <c r="B18" s="9"/>
      <c r="C18" s="9"/>
      <c r="D18" s="9"/>
      <c r="E18" s="9"/>
      <c r="G18" s="9" t="s">
        <v>13</v>
      </c>
      <c r="K18" s="10">
        <v>3730</v>
      </c>
    </row>
    <row r="19" spans="1:5" x14ac:dyDescent="0.25">
      <c r="A19" t="s">
        <v>51</v>
      </c>
      <c r="B19" t="s">
        <v>9</v>
      </c>
      <c r="C19" s="1">
        <v>65</v>
      </c>
      <c r="D19">
        <v>8</v>
      </c>
      <c r="E19" s="1">
        <f>C19*D19</f>
      </c>
    </row>
    <row r="20" spans="1:5" s="7" customFormat="1" x14ac:dyDescent="0.25">
      <c r="A20" s="7" t="s">
        <v>11</v>
      </c>
      <c r="B20" s="7" t="s">
        <v>11</v>
      </c>
      <c r="C20" s="8" t="s">
        <v>11</v>
      </c>
      <c r="D20" s="7" t="s">
        <v>11</v>
      </c>
      <c r="E20" s="8">
        <f>SUM(E19:E19)</f>
      </c>
    </row>
    <row r="22" spans="1:5" s="3" customFormat="1" x14ac:dyDescent="0.25">
      <c r="A22" s="3" t="s">
        <v>12</v>
      </c>
      <c r="B22" s="3" t="s">
        <v>11</v>
      </c>
      <c r="C22" s="4" t="s">
        <v>11</v>
      </c>
      <c r="D22" s="3" t="s">
        <v>11</v>
      </c>
      <c r="E22" s="4">
        <v>2827.5</v>
      </c>
    </row>
    <row r="23" spans="1:5" s="9" customFormat="1" x14ac:dyDescent="0.25">
      <c r="A23" s="9" t="s">
        <v>14</v>
      </c>
      <c r="B23" s="9" t="s">
        <v>11</v>
      </c>
      <c r="C23" s="10" t="s">
        <v>11</v>
      </c>
      <c r="D23" s="9" t="s">
        <v>11</v>
      </c>
      <c r="E23" s="10">
        <v>3730</v>
      </c>
    </row>
    <row r="24" spans="1:5" s="11" customFormat="1" x14ac:dyDescent="0.25">
      <c r="A24" s="12" t="s">
        <v>15</v>
      </c>
      <c r="B24" s="11" t="s">
        <v>11</v>
      </c>
      <c r="C24" s="13" t="s">
        <v>11</v>
      </c>
      <c r="D24" s="11" t="s">
        <v>11</v>
      </c>
      <c r="E24" s="14">
        <v>6557.5</v>
      </c>
    </row>
  </sheetData>
  <mergeCells count="10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G1" s="2" t="s">
        <v>0</v>
      </c>
      <c r="H1" s="2" t="s">
        <v>5</v>
      </c>
      <c r="I1" s="5" t="s">
        <v>2</v>
      </c>
      <c r="J1" s="2" t="s">
        <v>3</v>
      </c>
      <c r="K1" s="5" t="s">
        <v>4</v>
      </c>
    </row>
    <row r="2" spans="1:11" s="6" customFormat="1" x14ac:dyDescent="0.25">
      <c r="A2" s="6" t="s">
        <v>55</v>
      </c>
      <c r="B2" s="6"/>
      <c r="C2" s="6"/>
      <c r="D2" s="6"/>
      <c r="E2" s="6"/>
      <c r="G2" s="6" t="s">
        <v>56</v>
      </c>
      <c r="H2" s="6"/>
      <c r="I2" s="6"/>
      <c r="J2" s="6"/>
      <c r="K2" s="6"/>
    </row>
    <row r="3" spans="1:11" x14ac:dyDescent="0.25">
      <c r="A3" t="s">
        <v>57</v>
      </c>
      <c r="B3" t="s">
        <v>9</v>
      </c>
      <c r="C3" s="1">
        <v>65</v>
      </c>
      <c r="D3">
        <v>8.5</v>
      </c>
      <c r="E3" s="1">
        <f>C3*D3</f>
      </c>
      <c r="G3" t="s">
        <v>57</v>
      </c>
      <c r="H3" t="s">
        <v>10</v>
      </c>
      <c r="I3" s="1">
        <v>100</v>
      </c>
      <c r="J3">
        <v>8.5</v>
      </c>
      <c r="K3" s="1">
        <f>I3*J3</f>
      </c>
    </row>
    <row r="4" spans="1:5" s="7" customFormat="1" x14ac:dyDescent="0.25">
      <c r="A4" s="7" t="s">
        <v>11</v>
      </c>
      <c r="B4" s="7" t="s">
        <v>11</v>
      </c>
      <c r="C4" s="8" t="s">
        <v>11</v>
      </c>
      <c r="D4" s="7" t="s">
        <v>11</v>
      </c>
      <c r="E4" s="8">
        <f>SUM(E3:E3)</f>
      </c>
    </row>
    <row r="5" spans="7:11" x14ac:dyDescent="0.25">
      <c r="G5" s="6" t="s">
        <v>17</v>
      </c>
      <c r="H5" s="6"/>
      <c r="I5" s="6"/>
      <c r="J5" s="6"/>
      <c r="K5" s="6"/>
    </row>
    <row r="6" spans="1:11" s="6" customFormat="1" x14ac:dyDescent="0.25">
      <c r="A6" s="6" t="s">
        <v>58</v>
      </c>
      <c r="B6" s="6"/>
      <c r="C6" s="6"/>
      <c r="D6" s="6"/>
      <c r="E6" s="6"/>
      <c r="G6" s="6" t="s">
        <v>59</v>
      </c>
      <c r="H6" s="6" t="s">
        <v>10</v>
      </c>
      <c r="I6" s="15">
        <v>100</v>
      </c>
      <c r="J6" s="6">
        <v>6.5</v>
      </c>
      <c r="K6" s="15">
        <f>I6*J6</f>
      </c>
    </row>
    <row r="7" spans="1:5" x14ac:dyDescent="0.25">
      <c r="A7" t="s">
        <v>60</v>
      </c>
      <c r="B7" t="s">
        <v>9</v>
      </c>
      <c r="C7" s="1">
        <v>65</v>
      </c>
      <c r="D7">
        <v>10.5</v>
      </c>
      <c r="E7" s="1">
        <f>C7*D7</f>
      </c>
    </row>
    <row r="8" spans="1:11" s="7" customFormat="1" x14ac:dyDescent="0.25">
      <c r="A8" s="7" t="s">
        <v>11</v>
      </c>
      <c r="B8" s="7" t="s">
        <v>11</v>
      </c>
      <c r="C8" s="8" t="s">
        <v>11</v>
      </c>
      <c r="D8" s="7" t="s">
        <v>11</v>
      </c>
      <c r="E8" s="8">
        <f>SUM(E7:E7)</f>
      </c>
      <c r="G8" s="6" t="s">
        <v>61</v>
      </c>
      <c r="H8" s="6"/>
      <c r="I8" s="6"/>
      <c r="J8" s="6"/>
      <c r="K8" s="6"/>
    </row>
    <row r="9" spans="7:11" x14ac:dyDescent="0.25">
      <c r="G9" t="s">
        <v>60</v>
      </c>
      <c r="H9" t="s">
        <v>10</v>
      </c>
      <c r="I9" s="1">
        <v>100</v>
      </c>
      <c r="J9">
        <v>9</v>
      </c>
      <c r="K9" s="1">
        <f>I9*J9</f>
      </c>
    </row>
    <row r="10" spans="1:5" s="6" customFormat="1" x14ac:dyDescent="0.25">
      <c r="A10" s="6" t="s">
        <v>25</v>
      </c>
      <c r="B10" s="6"/>
      <c r="C10" s="6"/>
      <c r="D10" s="6"/>
      <c r="E10" s="6"/>
    </row>
    <row r="11" spans="1:11" x14ac:dyDescent="0.25">
      <c r="A11" t="s">
        <v>62</v>
      </c>
      <c r="B11" t="s">
        <v>9</v>
      </c>
      <c r="C11" s="1">
        <v>65</v>
      </c>
      <c r="D11">
        <v>8.5</v>
      </c>
      <c r="E11" s="1">
        <f>C11*D11</f>
      </c>
      <c r="G11" s="6" t="s">
        <v>47</v>
      </c>
      <c r="H11" s="6"/>
      <c r="I11" s="6"/>
      <c r="J11" s="6"/>
      <c r="K11" s="6"/>
    </row>
    <row r="12" spans="1:11" s="7" customFormat="1" x14ac:dyDescent="0.25">
      <c r="A12" s="7" t="s">
        <v>11</v>
      </c>
      <c r="B12" s="7" t="s">
        <v>11</v>
      </c>
      <c r="C12" s="8" t="s">
        <v>11</v>
      </c>
      <c r="D12" s="7" t="s">
        <v>11</v>
      </c>
      <c r="E12" s="8">
        <f>SUM(E11:E11)</f>
      </c>
      <c r="G12" s="7" t="s">
        <v>63</v>
      </c>
      <c r="H12" s="7" t="s">
        <v>10</v>
      </c>
      <c r="I12" s="8">
        <v>100</v>
      </c>
      <c r="J12" s="7">
        <v>6</v>
      </c>
      <c r="K12" s="8">
        <f>I12*J12</f>
      </c>
    </row>
    <row r="14" spans="1:11" s="6" customFormat="1" x14ac:dyDescent="0.25">
      <c r="A14" s="6" t="s">
        <v>40</v>
      </c>
      <c r="B14" s="6"/>
      <c r="C14" s="6"/>
      <c r="D14" s="6"/>
      <c r="E14" s="6"/>
      <c r="G14" s="6" t="s">
        <v>64</v>
      </c>
      <c r="H14" s="6"/>
      <c r="I14" s="6"/>
      <c r="J14" s="6"/>
      <c r="K14" s="6"/>
    </row>
    <row r="15" spans="1:11" x14ac:dyDescent="0.25">
      <c r="A15" t="s">
        <v>59</v>
      </c>
      <c r="B15" t="s">
        <v>9</v>
      </c>
      <c r="C15" s="1">
        <v>65</v>
      </c>
      <c r="D15">
        <v>10.5</v>
      </c>
      <c r="E15" s="1">
        <f>C15*D15</f>
      </c>
      <c r="G15" t="s">
        <v>62</v>
      </c>
      <c r="H15" t="s">
        <v>10</v>
      </c>
      <c r="I15" s="1">
        <v>100</v>
      </c>
      <c r="J15">
        <v>8</v>
      </c>
      <c r="K15" s="1">
        <f>I15*J15</f>
      </c>
    </row>
    <row r="16" spans="1:5" s="7" customFormat="1" x14ac:dyDescent="0.25">
      <c r="A16" s="7" t="s">
        <v>11</v>
      </c>
      <c r="B16" s="7" t="s">
        <v>11</v>
      </c>
      <c r="C16" s="8" t="s">
        <v>11</v>
      </c>
      <c r="D16" s="7" t="s">
        <v>11</v>
      </c>
      <c r="E16" s="8">
        <f>SUM(E15:E15)</f>
      </c>
    </row>
    <row r="18" spans="1:11" s="9" customFormat="1" x14ac:dyDescent="0.25">
      <c r="A18" s="9" t="s">
        <v>53</v>
      </c>
      <c r="B18" s="9"/>
      <c r="C18" s="9"/>
      <c r="D18" s="9"/>
      <c r="E18" s="9"/>
      <c r="G18" s="9" t="s">
        <v>13</v>
      </c>
      <c r="K18" s="10">
        <v>3800</v>
      </c>
    </row>
    <row r="19" spans="1:5" x14ac:dyDescent="0.25">
      <c r="A19" t="s">
        <v>63</v>
      </c>
      <c r="B19" t="s">
        <v>9</v>
      </c>
      <c r="C19" s="1">
        <v>65</v>
      </c>
      <c r="D19">
        <v>7.5</v>
      </c>
      <c r="E19" s="1">
        <f>C19*D19</f>
      </c>
    </row>
    <row r="20" spans="1:5" s="7" customFormat="1" x14ac:dyDescent="0.25">
      <c r="A20" s="7" t="s">
        <v>11</v>
      </c>
      <c r="B20" s="7" t="s">
        <v>11</v>
      </c>
      <c r="C20" s="8" t="s">
        <v>11</v>
      </c>
      <c r="D20" s="7" t="s">
        <v>11</v>
      </c>
      <c r="E20" s="8">
        <f>SUM(E19:E19)</f>
      </c>
    </row>
    <row r="22" spans="1:5" s="3" customFormat="1" x14ac:dyDescent="0.25">
      <c r="A22" s="3" t="s">
        <v>12</v>
      </c>
      <c r="B22" s="3" t="s">
        <v>11</v>
      </c>
      <c r="C22" s="4" t="s">
        <v>11</v>
      </c>
      <c r="D22" s="3" t="s">
        <v>11</v>
      </c>
      <c r="E22" s="4">
        <v>2957.5</v>
      </c>
    </row>
    <row r="23" spans="1:5" s="9" customFormat="1" x14ac:dyDescent="0.25">
      <c r="A23" s="9" t="s">
        <v>14</v>
      </c>
      <c r="B23" s="9" t="s">
        <v>11</v>
      </c>
      <c r="C23" s="10" t="s">
        <v>11</v>
      </c>
      <c r="D23" s="9" t="s">
        <v>11</v>
      </c>
      <c r="E23" s="10">
        <v>3800</v>
      </c>
    </row>
    <row r="24" spans="1:5" s="11" customFormat="1" x14ac:dyDescent="0.25">
      <c r="A24" s="12" t="s">
        <v>15</v>
      </c>
      <c r="B24" s="11" t="s">
        <v>11</v>
      </c>
      <c r="C24" s="13" t="s">
        <v>11</v>
      </c>
      <c r="D24" s="11" t="s">
        <v>11</v>
      </c>
      <c r="E24" s="14">
        <v>6757.5</v>
      </c>
    </row>
  </sheetData>
  <mergeCells count="10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</cols>
  <sheetData>
    <row r="1" spans="1:5" s="16" customFormat="1" x14ac:dyDescent="0.25">
      <c r="A1" s="16" t="s">
        <v>65</v>
      </c>
      <c r="B1" s="16"/>
      <c r="C1" s="16"/>
      <c r="D1" s="16"/>
      <c r="E1" s="16"/>
    </row>
    <row r="3" spans="1:5" s="3" customFormat="1" x14ac:dyDescent="0.25">
      <c r="A3" s="3" t="s">
        <v>66</v>
      </c>
      <c r="B3" s="3" t="s">
        <v>11</v>
      </c>
      <c r="C3" s="4" t="s">
        <v>11</v>
      </c>
      <c r="D3" s="3" t="s">
        <v>11</v>
      </c>
      <c r="E3" s="4" t="s">
        <v>4</v>
      </c>
    </row>
    <row r="4" spans="1:5" x14ac:dyDescent="0.25">
      <c r="A4" t="s">
        <v>67</v>
      </c>
      <c r="B4" t="s">
        <v>11</v>
      </c>
      <c r="C4" s="1" t="s">
        <v>11</v>
      </c>
      <c r="D4" t="s">
        <v>11</v>
      </c>
      <c r="E4" s="1">
        <f>'Week of Dec 28'!E8</f>
      </c>
    </row>
    <row r="5" spans="1:5" x14ac:dyDescent="0.25">
      <c r="A5" t="s">
        <v>68</v>
      </c>
      <c r="B5" t="s">
        <v>11</v>
      </c>
      <c r="C5" s="1" t="s">
        <v>11</v>
      </c>
      <c r="D5" t="s">
        <v>11</v>
      </c>
      <c r="E5" s="1">
        <f>'Week of Jan 4'!E24</f>
      </c>
    </row>
    <row r="6" spans="1:5" x14ac:dyDescent="0.25">
      <c r="A6" t="s">
        <v>69</v>
      </c>
      <c r="B6" t="s">
        <v>11</v>
      </c>
      <c r="C6" s="1" t="s">
        <v>11</v>
      </c>
      <c r="D6" t="s">
        <v>11</v>
      </c>
      <c r="E6" s="1">
        <f>'Week of Jan 11'!E24</f>
      </c>
    </row>
    <row r="7" spans="1:5" x14ac:dyDescent="0.25">
      <c r="A7" t="s">
        <v>70</v>
      </c>
      <c r="B7" t="s">
        <v>11</v>
      </c>
      <c r="C7" s="1" t="s">
        <v>11</v>
      </c>
      <c r="D7" t="s">
        <v>11</v>
      </c>
      <c r="E7" s="1">
        <f>'Week of Jan 18'!E24</f>
      </c>
    </row>
    <row r="8" spans="1:5" x14ac:dyDescent="0.25">
      <c r="A8" t="s">
        <v>71</v>
      </c>
      <c r="B8" t="s">
        <v>11</v>
      </c>
      <c r="C8" s="1" t="s">
        <v>11</v>
      </c>
      <c r="D8" t="s">
        <v>11</v>
      </c>
      <c r="E8" s="1">
        <f>'Week of Jan 25'!E24</f>
      </c>
    </row>
    <row r="10" spans="1:5" s="11" customFormat="1" x14ac:dyDescent="0.25">
      <c r="A10" s="12" t="s">
        <v>72</v>
      </c>
      <c r="B10" s="11" t="s">
        <v>11</v>
      </c>
      <c r="C10" s="13" t="s">
        <v>11</v>
      </c>
      <c r="D10" s="11" t="s">
        <v>11</v>
      </c>
      <c r="E10" s="14">
        <f>SUM(E4:E8)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of Dec 28</vt:lpstr>
      <vt:lpstr>Week of Jan 4</vt:lpstr>
      <vt:lpstr>Week of Jan 11</vt:lpstr>
      <vt:lpstr>Week of Jan 18</vt:lpstr>
      <vt:lpstr>Week of Jan 25</vt:lpstr>
      <vt:lpstr>Monthly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2026-01-14T02:53:22Z</dcterms:created>
  <dcterms:modified xsi:type="dcterms:W3CDTF">2026-01-14T02:53:22Z</dcterms:modified>
</cp:coreProperties>
</file>