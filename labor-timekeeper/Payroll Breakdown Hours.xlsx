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ri\Desktop\Payroll, Time Sheets, Vaca\PAYROLL\"/>
    </mc:Choice>
  </mc:AlternateContent>
  <xr:revisionPtr revIDLastSave="0" documentId="13_ncr:1_{E8B32BF0-1984-48ED-918D-63975AA10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" l="1"/>
  <c r="D14" i="1"/>
  <c r="D15" i="1" s="1"/>
  <c r="D56" i="1"/>
  <c r="D58" i="1"/>
  <c r="D62" i="1"/>
  <c r="D63" i="1"/>
  <c r="D10" i="1"/>
  <c r="D6" i="1"/>
  <c r="D7" i="1" s="1"/>
  <c r="D38" i="1"/>
  <c r="D39" i="1" s="1"/>
  <c r="D29" i="1"/>
  <c r="D30" i="1" s="1"/>
  <c r="D61" i="1"/>
  <c r="D46" i="1"/>
  <c r="D24" i="1"/>
  <c r="D23" i="1"/>
  <c r="D2" i="1"/>
  <c r="D3" i="1" s="1"/>
  <c r="D60" i="1"/>
  <c r="D18" i="1"/>
  <c r="D42" i="1"/>
  <c r="D53" i="1"/>
  <c r="D33" i="1"/>
  <c r="D34" i="1"/>
  <c r="D52" i="1"/>
  <c r="D47" i="1"/>
  <c r="D59" i="1"/>
  <c r="D43" i="1" l="1"/>
  <c r="D35" i="1"/>
  <c r="D11" i="1"/>
  <c r="D25" i="1"/>
  <c r="D26" i="1" s="1"/>
  <c r="D19" i="1"/>
  <c r="D20" i="1" s="1"/>
  <c r="D48" i="1" l="1"/>
  <c r="D49" i="1" s="1"/>
  <c r="D57" i="1"/>
  <c r="D64" i="1"/>
  <c r="D55" i="1" l="1"/>
  <c r="D65" i="1" s="1"/>
  <c r="D68" i="1" s="1"/>
  <c r="D70" i="1" l="1"/>
  <c r="D71" i="1" s="1"/>
</calcChain>
</file>

<file path=xl/sharedStrings.xml><?xml version="1.0" encoding="utf-8"?>
<sst xmlns="http://schemas.openxmlformats.org/spreadsheetml/2006/main" count="50" uniqueCount="40">
  <si>
    <t>Subtotal</t>
  </si>
  <si>
    <t>Office</t>
  </si>
  <si>
    <t>Total payroll dollars</t>
  </si>
  <si>
    <t>FEEs</t>
  </si>
  <si>
    <t>401k - ER Contribution</t>
  </si>
  <si>
    <t>Total Payroll  Invoice</t>
  </si>
  <si>
    <t>Shop, JCW, PTO, OT</t>
  </si>
  <si>
    <t xml:space="preserve">Sean Matthew </t>
  </si>
  <si>
    <t>Ueltschi</t>
  </si>
  <si>
    <t xml:space="preserve">Doug Kinsey </t>
  </si>
  <si>
    <t>Watkins</t>
  </si>
  <si>
    <t>Phil Henderson - Supervision Rate</t>
  </si>
  <si>
    <t>Howard</t>
  </si>
  <si>
    <t>Landy</t>
  </si>
  <si>
    <t>Thomas Brinson - Superintendent Rate</t>
  </si>
  <si>
    <t>Boban Abbate</t>
  </si>
  <si>
    <t xml:space="preserve">Doug Kinsey -JCW Shop </t>
  </si>
  <si>
    <t>Proctor Plaza</t>
  </si>
  <si>
    <t xml:space="preserve">Jason Green </t>
  </si>
  <si>
    <t>Boyle</t>
  </si>
  <si>
    <t xml:space="preserve">Boban Abbate </t>
  </si>
  <si>
    <t>Boban Abbate - PTO</t>
  </si>
  <si>
    <t>Thomas Brinson - PTO</t>
  </si>
  <si>
    <t>Lucas</t>
  </si>
  <si>
    <t>Jason Green - Maint</t>
  </si>
  <si>
    <t>Richer</t>
  </si>
  <si>
    <t>Jason Green - PTO</t>
  </si>
  <si>
    <t xml:space="preserve">Doug </t>
  </si>
  <si>
    <t>Campbell</t>
  </si>
  <si>
    <t>Hall</t>
  </si>
  <si>
    <t>Doug Kinsey - Holiday Pay</t>
  </si>
  <si>
    <t>Boban Abbate - Holiday Pay</t>
  </si>
  <si>
    <t>Thomas Brinson - Holiday Pay</t>
  </si>
  <si>
    <t>Thomas Brinson - Calc for OT</t>
  </si>
  <si>
    <t>Jason Green - Holiday Pay</t>
  </si>
  <si>
    <t>Phil Henderson - Holiday Pay</t>
  </si>
  <si>
    <t>Phil Henderson - PTO</t>
  </si>
  <si>
    <t>Horr</t>
  </si>
  <si>
    <t>Doug Kinsey -PTO</t>
  </si>
  <si>
    <t>Sean Matthew - Holiday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</si>
</sst>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Georgia"/>
      <family val="1"/>
    </font>
    <font>
      <sz val="11"/>
      <color theme="1"/>
      <name val="Georgia"/>
      <family val="1"/>
    </font>
    <font>
      <b/>
      <sz val="14"/>
      <name val="Georgia"/>
      <family val="1"/>
    </font>
    <font>
      <b/>
      <sz val="11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44" fontId="2" fillId="0" borderId="1" xfId="1" applyFont="1" applyFill="1" applyBorder="1"/>
    <xf numFmtId="2" fontId="2" fillId="0" borderId="1" xfId="0" applyNumberFormat="1" applyFont="1" applyBorder="1"/>
    <xf numFmtId="0" fontId="3" fillId="0" borderId="0" xfId="0" applyFont="1"/>
    <xf numFmtId="44" fontId="3" fillId="0" borderId="0" xfId="0" applyNumberFormat="1" applyFont="1"/>
    <xf numFmtId="0" fontId="4" fillId="0" borderId="1" xfId="0" applyFont="1" applyBorder="1" applyAlignment="1">
      <alignment horizontal="right"/>
    </xf>
    <xf numFmtId="44" fontId="4" fillId="0" borderId="1" xfId="1" applyFont="1" applyFill="1" applyBorder="1"/>
    <xf numFmtId="0" fontId="5" fillId="0" borderId="0" xfId="0" applyFont="1"/>
    <xf numFmtId="0" fontId="4" fillId="0" borderId="1" xfId="0" applyFont="1" applyBorder="1"/>
    <xf numFmtId="0" fontId="2" fillId="0" borderId="1" xfId="0" applyFont="1" applyBorder="1" applyAlignment="1">
      <alignment wrapText="1"/>
    </xf>
    <xf numFmtId="2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view="pageLayout" topLeftCell="A55" zoomScale="110" zoomScaleNormal="110" zoomScalePageLayoutView="110" workbookViewId="0">
      <selection activeCell="A67" sqref="A67"/>
    </sheetView>
  </sheetViews>
  <sheetFormatPr defaultRowHeight="14.25" x14ac:dyDescent="0.2"/>
  <cols>
    <col min="1" max="1" width="48.28515625" style="4" customWidth="1"/>
    <col min="2" max="2" width="15.85546875" style="4" customWidth="1"/>
    <col min="3" max="3" width="21" style="11" customWidth="1"/>
    <col min="4" max="4" width="32.28515625" style="4" customWidth="1"/>
    <col min="5" max="5" width="10.5703125" style="4" bestFit="1" customWidth="1"/>
    <col min="6" max="7" width="9.140625" style="4"/>
    <col min="8" max="8" width="10.140625" style="4" bestFit="1" customWidth="1"/>
    <col min="9" max="16384" width="9.140625" style="4"/>
  </cols>
  <sheetData>
    <row r="1" spans="1:4" ht="18" x14ac:dyDescent="0.25">
      <c r="A1" s="9" t="s">
        <v>19</v>
      </c>
      <c r="B1" s="2"/>
      <c r="C1" s="3"/>
      <c r="D1" s="2"/>
    </row>
    <row r="2" spans="1:4" ht="18" x14ac:dyDescent="0.25">
      <c r="A2" s="10" t="s">
        <v>20</v>
      </c>
      <c r="B2" s="2">
        <v>42.5</v>
      </c>
      <c r="C2" s="3">
        <v>10</v>
      </c>
      <c r="D2" s="2">
        <f t="shared" ref="D2" si="0">SUM(B2*C2)</f>
        <v>425</v>
      </c>
    </row>
    <row r="3" spans="1:4" s="8" customFormat="1" ht="18" x14ac:dyDescent="0.25">
      <c r="A3" s="6"/>
      <c r="B3" s="7"/>
      <c r="C3" s="3"/>
      <c r="D3" s="7">
        <f>SUM(D2:D2)</f>
        <v>425</v>
      </c>
    </row>
    <row r="4" spans="1:4" s="8" customFormat="1" ht="18" x14ac:dyDescent="0.25">
      <c r="A4" s="6"/>
      <c r="B4" s="7"/>
      <c r="C4" s="3"/>
      <c r="D4" s="7"/>
    </row>
    <row r="5" spans="1:4" ht="18" x14ac:dyDescent="0.25">
      <c r="A5" s="9" t="s">
        <v>28</v>
      </c>
      <c r="B5" s="2"/>
      <c r="C5" s="3"/>
      <c r="D5" s="2"/>
    </row>
    <row r="6" spans="1:4" ht="18" x14ac:dyDescent="0.25">
      <c r="A6" s="10" t="s">
        <v>20</v>
      </c>
      <c r="B6" s="2">
        <v>42.5</v>
      </c>
      <c r="C6" s="3">
        <v>1</v>
      </c>
      <c r="D6" s="2">
        <f t="shared" ref="D6" si="1">SUM(B6*C6)</f>
        <v>42.5</v>
      </c>
    </row>
    <row r="7" spans="1:4" s="8" customFormat="1" ht="18" x14ac:dyDescent="0.25">
      <c r="A7" s="6"/>
      <c r="B7" s="7"/>
      <c r="C7" s="3"/>
      <c r="D7" s="7">
        <f>SUM(D6:D6)</f>
        <v>42.5</v>
      </c>
    </row>
    <row r="8" spans="1:4" s="8" customFormat="1" ht="18" x14ac:dyDescent="0.25">
      <c r="A8" s="6"/>
      <c r="B8" s="7"/>
      <c r="C8" s="3"/>
      <c r="D8" s="7"/>
    </row>
    <row r="9" spans="1:4" ht="18" x14ac:dyDescent="0.25">
      <c r="A9" s="9" t="s">
        <v>29</v>
      </c>
      <c r="B9" s="2"/>
      <c r="C9" s="3"/>
      <c r="D9" s="2"/>
    </row>
    <row r="10" spans="1:4" ht="18" x14ac:dyDescent="0.25">
      <c r="A10" s="1" t="s">
        <v>18</v>
      </c>
      <c r="B10" s="2">
        <v>35</v>
      </c>
      <c r="C10" s="3">
        <v>8</v>
      </c>
      <c r="D10" s="2">
        <f t="shared" ref="D10" si="2">SUM(B10*C10)</f>
        <v>280</v>
      </c>
    </row>
    <row r="11" spans="1:4" s="8" customFormat="1" ht="18" x14ac:dyDescent="0.25">
      <c r="A11" s="6"/>
      <c r="B11" s="7"/>
      <c r="C11" s="3"/>
      <c r="D11" s="7">
        <f>SUM(D10:D10)</f>
        <v>280</v>
      </c>
    </row>
    <row r="12" spans="1:4" s="8" customFormat="1" ht="18" x14ac:dyDescent="0.25">
      <c r="A12" s="6"/>
      <c r="B12" s="7"/>
      <c r="C12" s="3"/>
      <c r="D12" s="7"/>
    </row>
    <row r="13" spans="1:4" ht="21" customHeight="1" x14ac:dyDescent="0.25">
      <c r="A13" s="9" t="s">
        <v>37</v>
      </c>
      <c r="B13" s="2"/>
      <c r="C13" s="3"/>
      <c r="D13" s="2"/>
    </row>
    <row r="14" spans="1:4" ht="18" x14ac:dyDescent="0.25">
      <c r="A14" s="1" t="s">
        <v>9</v>
      </c>
      <c r="B14" s="2">
        <v>30</v>
      </c>
      <c r="C14" s="3">
        <v>2</v>
      </c>
      <c r="D14" s="2">
        <f t="shared" ref="D14" si="3">SUM(B14*C14)</f>
        <v>60</v>
      </c>
    </row>
    <row r="15" spans="1:4" s="8" customFormat="1" ht="18" x14ac:dyDescent="0.25">
      <c r="A15" s="6"/>
      <c r="B15" s="7"/>
      <c r="C15" s="3"/>
      <c r="D15" s="7">
        <f>SUM(D14:D14)</f>
        <v>60</v>
      </c>
    </row>
    <row r="16" spans="1:4" s="8" customFormat="1" ht="18" x14ac:dyDescent="0.25">
      <c r="A16" s="6"/>
      <c r="B16" s="7"/>
      <c r="C16" s="3"/>
      <c r="D16" s="7"/>
    </row>
    <row r="17" spans="1:4" ht="18" x14ac:dyDescent="0.25">
      <c r="A17" s="9" t="s">
        <v>12</v>
      </c>
      <c r="B17" s="2"/>
      <c r="C17" s="3"/>
      <c r="D17" s="2"/>
    </row>
    <row r="18" spans="1:4" ht="18" x14ac:dyDescent="0.25">
      <c r="A18" s="1" t="s">
        <v>18</v>
      </c>
      <c r="B18" s="2">
        <v>35</v>
      </c>
      <c r="C18" s="3">
        <v>3.5</v>
      </c>
      <c r="D18" s="2">
        <f t="shared" ref="D18" si="4">SUM(B18*C18)</f>
        <v>122.5</v>
      </c>
    </row>
    <row r="19" spans="1:4" ht="18" x14ac:dyDescent="0.25">
      <c r="A19" s="10" t="s">
        <v>15</v>
      </c>
      <c r="B19" s="2">
        <v>42.5</v>
      </c>
      <c r="C19" s="3">
        <v>5</v>
      </c>
      <c r="D19" s="2">
        <f t="shared" ref="D19" si="5">SUM(B19*C19)</f>
        <v>212.5</v>
      </c>
    </row>
    <row r="20" spans="1:4" s="8" customFormat="1" ht="18" x14ac:dyDescent="0.25">
      <c r="A20" s="6"/>
      <c r="B20" s="7"/>
      <c r="C20" s="3"/>
      <c r="D20" s="7">
        <f>SUM(D18:D19)</f>
        <v>335</v>
      </c>
    </row>
    <row r="21" spans="1:4" s="8" customFormat="1" ht="18" x14ac:dyDescent="0.25">
      <c r="A21" s="6"/>
      <c r="B21" s="7"/>
      <c r="C21" s="3"/>
      <c r="D21" s="7"/>
    </row>
    <row r="22" spans="1:4" ht="21" customHeight="1" x14ac:dyDescent="0.25">
      <c r="A22" s="9" t="s">
        <v>13</v>
      </c>
      <c r="B22" s="2"/>
      <c r="C22" s="3"/>
      <c r="D22" s="2"/>
    </row>
    <row r="23" spans="1:4" ht="20.25" customHeight="1" x14ac:dyDescent="0.25">
      <c r="A23" s="10" t="s">
        <v>7</v>
      </c>
      <c r="B23" s="2">
        <v>20</v>
      </c>
      <c r="C23" s="3">
        <v>11</v>
      </c>
      <c r="D23" s="2">
        <f>SUM(B23*C23)</f>
        <v>220</v>
      </c>
    </row>
    <row r="24" spans="1:4" ht="18" x14ac:dyDescent="0.25">
      <c r="A24" s="1" t="s">
        <v>9</v>
      </c>
      <c r="B24" s="2">
        <v>30</v>
      </c>
      <c r="C24" s="3">
        <v>2</v>
      </c>
      <c r="D24" s="2">
        <f t="shared" ref="D24" si="6">SUM(B24*C24)</f>
        <v>60</v>
      </c>
    </row>
    <row r="25" spans="1:4" ht="18" x14ac:dyDescent="0.25">
      <c r="A25" s="1" t="s">
        <v>14</v>
      </c>
      <c r="B25" s="2">
        <v>35</v>
      </c>
      <c r="C25" s="3">
        <v>16.5</v>
      </c>
      <c r="D25" s="2">
        <f t="shared" ref="D25" si="7">SUM(B25*C25)</f>
        <v>577.5</v>
      </c>
    </row>
    <row r="26" spans="1:4" s="8" customFormat="1" ht="18" x14ac:dyDescent="0.25">
      <c r="A26" s="6"/>
      <c r="B26" s="7"/>
      <c r="C26" s="3"/>
      <c r="D26" s="7">
        <f>SUM(D23:D25)</f>
        <v>857.5</v>
      </c>
    </row>
    <row r="27" spans="1:4" s="8" customFormat="1" ht="18" x14ac:dyDescent="0.25">
      <c r="A27" s="6"/>
      <c r="B27" s="7"/>
      <c r="C27" s="3"/>
      <c r="D27" s="7"/>
    </row>
    <row r="28" spans="1:4" ht="24.75" customHeight="1" x14ac:dyDescent="0.25">
      <c r="A28" s="9" t="s">
        <v>23</v>
      </c>
      <c r="B28" s="2"/>
      <c r="C28" s="3"/>
      <c r="D28" s="2"/>
    </row>
    <row r="29" spans="1:4" ht="18" x14ac:dyDescent="0.25">
      <c r="A29" s="1" t="s">
        <v>24</v>
      </c>
      <c r="B29" s="2">
        <v>35</v>
      </c>
      <c r="C29" s="3">
        <v>0.5</v>
      </c>
      <c r="D29" s="2">
        <f t="shared" ref="D29" si="8">SUM(B29*C29)</f>
        <v>17.5</v>
      </c>
    </row>
    <row r="30" spans="1:4" s="8" customFormat="1" ht="18" x14ac:dyDescent="0.25">
      <c r="A30" s="6"/>
      <c r="B30" s="7"/>
      <c r="C30" s="3"/>
      <c r="D30" s="7">
        <f>SUM(D29:D29)</f>
        <v>17.5</v>
      </c>
    </row>
    <row r="31" spans="1:4" s="8" customFormat="1" ht="18" x14ac:dyDescent="0.25">
      <c r="A31" s="6"/>
      <c r="B31" s="7"/>
      <c r="C31" s="3"/>
      <c r="D31" s="7"/>
    </row>
    <row r="32" spans="1:4" ht="23.25" customHeight="1" x14ac:dyDescent="0.25">
      <c r="A32" s="9" t="s">
        <v>17</v>
      </c>
      <c r="B32" s="2"/>
      <c r="C32" s="3"/>
      <c r="D32" s="2"/>
    </row>
    <row r="33" spans="1:8" ht="20.25" customHeight="1" x14ac:dyDescent="0.25">
      <c r="A33" s="10" t="s">
        <v>7</v>
      </c>
      <c r="B33" s="2">
        <v>20</v>
      </c>
      <c r="C33" s="3"/>
      <c r="D33" s="2">
        <f>SUM(B33*C33)</f>
        <v>0</v>
      </c>
    </row>
    <row r="34" spans="1:8" ht="18" x14ac:dyDescent="0.25">
      <c r="A34" s="1" t="s">
        <v>9</v>
      </c>
      <c r="B34" s="2">
        <v>30</v>
      </c>
      <c r="C34" s="3">
        <v>8</v>
      </c>
      <c r="D34" s="2">
        <f t="shared" ref="D34" si="9">SUM(B34*C34)</f>
        <v>240</v>
      </c>
    </row>
    <row r="35" spans="1:8" s="8" customFormat="1" ht="18" x14ac:dyDescent="0.25">
      <c r="A35" s="6"/>
      <c r="B35" s="7"/>
      <c r="C35" s="3"/>
      <c r="D35" s="7">
        <f>SUM(D33:D34)</f>
        <v>240</v>
      </c>
    </row>
    <row r="36" spans="1:8" s="8" customFormat="1" ht="18" x14ac:dyDescent="0.25">
      <c r="A36" s="6"/>
      <c r="B36" s="7"/>
      <c r="C36" s="3"/>
      <c r="D36" s="7"/>
    </row>
    <row r="37" spans="1:8" ht="24.75" customHeight="1" x14ac:dyDescent="0.25">
      <c r="A37" s="9" t="s">
        <v>25</v>
      </c>
      <c r="B37" s="2"/>
      <c r="C37" s="3"/>
      <c r="D37" s="2"/>
    </row>
    <row r="38" spans="1:8" ht="18" x14ac:dyDescent="0.25">
      <c r="A38" s="1" t="s">
        <v>18</v>
      </c>
      <c r="B38" s="2">
        <v>35</v>
      </c>
      <c r="C38" s="3">
        <v>4</v>
      </c>
      <c r="D38" s="2">
        <f t="shared" ref="D38" si="10">SUM(B38*C38)</f>
        <v>140</v>
      </c>
    </row>
    <row r="39" spans="1:8" s="8" customFormat="1" ht="18" x14ac:dyDescent="0.25">
      <c r="A39" s="6"/>
      <c r="B39" s="7"/>
      <c r="C39" s="3"/>
      <c r="D39" s="7">
        <f>SUM(D38:D38)</f>
        <v>140</v>
      </c>
    </row>
    <row r="40" spans="1:8" s="8" customFormat="1" ht="18" x14ac:dyDescent="0.25">
      <c r="A40" s="6"/>
      <c r="B40" s="7"/>
      <c r="C40" s="3"/>
      <c r="D40" s="7"/>
    </row>
    <row r="41" spans="1:8" ht="21" customHeight="1" x14ac:dyDescent="0.25">
      <c r="A41" s="9" t="s">
        <v>8</v>
      </c>
      <c r="B41" s="2"/>
      <c r="C41" s="3"/>
      <c r="D41" s="2"/>
    </row>
    <row r="42" spans="1:8" ht="18" x14ac:dyDescent="0.25">
      <c r="A42" s="1" t="s">
        <v>9</v>
      </c>
      <c r="B42" s="2">
        <v>30</v>
      </c>
      <c r="C42" s="3">
        <v>1</v>
      </c>
      <c r="D42" s="2">
        <f t="shared" ref="D42" si="11">SUM(B42*C42)</f>
        <v>30</v>
      </c>
    </row>
    <row r="43" spans="1:8" s="8" customFormat="1" ht="18" x14ac:dyDescent="0.25">
      <c r="A43" s="6"/>
      <c r="B43" s="7"/>
      <c r="C43" s="3"/>
      <c r="D43" s="7">
        <f>SUM(D42:D42)</f>
        <v>30</v>
      </c>
    </row>
    <row r="44" spans="1:8" s="8" customFormat="1" ht="18" x14ac:dyDescent="0.25">
      <c r="A44" s="6"/>
      <c r="B44" s="7"/>
      <c r="C44" s="3"/>
      <c r="D44" s="7"/>
    </row>
    <row r="45" spans="1:8" ht="21" customHeight="1" x14ac:dyDescent="0.25">
      <c r="A45" s="9" t="s">
        <v>10</v>
      </c>
      <c r="B45" s="2"/>
      <c r="C45" s="3"/>
      <c r="D45" s="2"/>
    </row>
    <row r="46" spans="1:8" ht="20.25" customHeight="1" x14ac:dyDescent="0.25">
      <c r="A46" s="10" t="s">
        <v>7</v>
      </c>
      <c r="B46" s="2">
        <v>20</v>
      </c>
      <c r="C46" s="3">
        <v>5</v>
      </c>
      <c r="D46" s="2">
        <f>SUM(B46*C46)</f>
        <v>100</v>
      </c>
    </row>
    <row r="47" spans="1:8" ht="18" x14ac:dyDescent="0.25">
      <c r="A47" s="1" t="s">
        <v>9</v>
      </c>
      <c r="B47" s="2">
        <v>30</v>
      </c>
      <c r="C47" s="3">
        <v>5.5</v>
      </c>
      <c r="D47" s="2">
        <f t="shared" ref="D47" si="12">SUM(B47*C47)</f>
        <v>165</v>
      </c>
    </row>
    <row r="48" spans="1:8" ht="18" x14ac:dyDescent="0.25">
      <c r="A48" s="1" t="s">
        <v>11</v>
      </c>
      <c r="B48" s="2">
        <v>30</v>
      </c>
      <c r="C48" s="3">
        <v>24</v>
      </c>
      <c r="D48" s="2">
        <f>SUM(B48*C48)</f>
        <v>720</v>
      </c>
      <c r="H48" s="5"/>
    </row>
    <row r="49" spans="1:8" s="8" customFormat="1" ht="18" x14ac:dyDescent="0.25">
      <c r="A49" s="6"/>
      <c r="B49" s="7"/>
      <c r="C49" s="3"/>
      <c r="D49" s="7">
        <f>SUM(D46:D48)</f>
        <v>985</v>
      </c>
    </row>
    <row r="50" spans="1:8" s="8" customFormat="1" ht="89.25" customHeight="1" x14ac:dyDescent="0.25">
      <c r="A50" s="6"/>
      <c r="B50" s="7"/>
      <c r="C50" s="3"/>
      <c r="D50" s="7"/>
    </row>
    <row r="51" spans="1:8" ht="18" x14ac:dyDescent="0.25">
      <c r="A51" s="9" t="s">
        <v>6</v>
      </c>
      <c r="B51" s="2"/>
      <c r="C51" s="3"/>
      <c r="D51" s="2"/>
    </row>
    <row r="52" spans="1:8" ht="20.25" customHeight="1" x14ac:dyDescent="0.25">
      <c r="A52" s="10" t="s">
        <v>39</v>
      </c>
      <c r="B52" s="2">
        <v>20</v>
      </c>
      <c r="C52" s="3">
        <v>8</v>
      </c>
      <c r="D52" s="2">
        <f t="shared" ref="D52" si="13">SUM(B52*C52)</f>
        <v>160</v>
      </c>
    </row>
    <row r="53" spans="1:8" ht="18" x14ac:dyDescent="0.25">
      <c r="A53" s="1" t="s">
        <v>30</v>
      </c>
      <c r="B53" s="2">
        <v>30</v>
      </c>
      <c r="C53" s="3">
        <v>8</v>
      </c>
      <c r="D53" s="2">
        <f t="shared" ref="D53:D54" si="14">SUM(B53*C53)</f>
        <v>240</v>
      </c>
    </row>
    <row r="54" spans="1:8" ht="18" x14ac:dyDescent="0.25">
      <c r="A54" s="1" t="s">
        <v>38</v>
      </c>
      <c r="B54" s="2">
        <v>30</v>
      </c>
      <c r="C54" s="3">
        <v>11</v>
      </c>
      <c r="D54" s="2">
        <f t="shared" si="14"/>
        <v>330</v>
      </c>
    </row>
    <row r="55" spans="1:8" ht="18" x14ac:dyDescent="0.25">
      <c r="A55" s="1" t="s">
        <v>16</v>
      </c>
      <c r="B55" s="2">
        <v>30</v>
      </c>
      <c r="C55" s="3">
        <v>2.5</v>
      </c>
      <c r="D55" s="2">
        <f t="shared" ref="D55" si="15">SUM(B55*C55)</f>
        <v>75</v>
      </c>
    </row>
    <row r="56" spans="1:8" ht="18" x14ac:dyDescent="0.25">
      <c r="A56" s="1" t="s">
        <v>35</v>
      </c>
      <c r="B56" s="2">
        <v>30</v>
      </c>
      <c r="C56" s="3">
        <v>8</v>
      </c>
      <c r="D56" s="2">
        <f>SUM(B56*C56)</f>
        <v>240</v>
      </c>
      <c r="H56" s="5"/>
    </row>
    <row r="57" spans="1:8" ht="18" x14ac:dyDescent="0.25">
      <c r="A57" s="1" t="s">
        <v>36</v>
      </c>
      <c r="B57" s="2">
        <v>30</v>
      </c>
      <c r="C57" s="3">
        <v>8</v>
      </c>
      <c r="D57" s="2">
        <f>SUM(B57*C57)</f>
        <v>240</v>
      </c>
      <c r="H57" s="5"/>
    </row>
    <row r="58" spans="1:8" ht="18" x14ac:dyDescent="0.25">
      <c r="A58" s="1" t="s">
        <v>34</v>
      </c>
      <c r="B58" s="2">
        <v>35</v>
      </c>
      <c r="C58" s="3">
        <v>8</v>
      </c>
      <c r="D58" s="2">
        <f t="shared" ref="D58" si="16">SUM(B58*C58)</f>
        <v>280</v>
      </c>
    </row>
    <row r="59" spans="1:8" ht="18" x14ac:dyDescent="0.25">
      <c r="A59" s="1" t="s">
        <v>26</v>
      </c>
      <c r="B59" s="2">
        <v>35</v>
      </c>
      <c r="C59" s="3">
        <v>16</v>
      </c>
      <c r="D59" s="2">
        <f t="shared" ref="D59:D60" si="17">SUM(B59*C59)</f>
        <v>560</v>
      </c>
    </row>
    <row r="60" spans="1:8" ht="18" x14ac:dyDescent="0.25">
      <c r="A60" s="10" t="s">
        <v>31</v>
      </c>
      <c r="B60" s="2">
        <v>42.5</v>
      </c>
      <c r="C60" s="3">
        <v>8</v>
      </c>
      <c r="D60" s="2">
        <f t="shared" si="17"/>
        <v>340</v>
      </c>
    </row>
    <row r="61" spans="1:8" ht="18" x14ac:dyDescent="0.25">
      <c r="A61" s="10" t="s">
        <v>21</v>
      </c>
      <c r="B61" s="2">
        <v>42.5</v>
      </c>
      <c r="C61" s="3">
        <v>16</v>
      </c>
      <c r="D61" s="2">
        <f t="shared" ref="D61" si="18">SUM(B61*C61)</f>
        <v>680</v>
      </c>
    </row>
    <row r="62" spans="1:8" ht="18" x14ac:dyDescent="0.25">
      <c r="A62" s="10" t="s">
        <v>33</v>
      </c>
      <c r="B62" s="2">
        <v>35</v>
      </c>
      <c r="C62" s="3">
        <v>0.25</v>
      </c>
      <c r="D62" s="2">
        <f>SUM(B62*C62)</f>
        <v>8.75</v>
      </c>
      <c r="H62" s="5"/>
    </row>
    <row r="63" spans="1:8" ht="18" x14ac:dyDescent="0.25">
      <c r="A63" s="10" t="s">
        <v>32</v>
      </c>
      <c r="B63" s="2">
        <v>35</v>
      </c>
      <c r="C63" s="3">
        <v>8</v>
      </c>
      <c r="D63" s="2">
        <f>SUM(B63*C63)</f>
        <v>280</v>
      </c>
      <c r="H63" s="5"/>
    </row>
    <row r="64" spans="1:8" ht="18" x14ac:dyDescent="0.25">
      <c r="A64" s="10" t="s">
        <v>22</v>
      </c>
      <c r="B64" s="2">
        <v>35</v>
      </c>
      <c r="C64" s="3">
        <v>16</v>
      </c>
      <c r="D64" s="2">
        <f>SUM(B64*C64)</f>
        <v>560</v>
      </c>
      <c r="H64" s="5"/>
    </row>
    <row r="65" spans="1:5" s="8" customFormat="1" ht="18" x14ac:dyDescent="0.25">
      <c r="A65" s="6"/>
      <c r="B65" s="7"/>
      <c r="C65" s="3"/>
      <c r="D65" s="7">
        <f>SUM(D52:D64)</f>
        <v>3993.75</v>
      </c>
    </row>
    <row r="66" spans="1:5" ht="27.75" customHeight="1" x14ac:dyDescent="0.25">
      <c r="A66" s="1"/>
      <c r="B66" s="2"/>
      <c r="C66" s="3"/>
      <c r="D66" s="2"/>
    </row>
    <row r="67" spans="1:5" ht="78" customHeight="1" x14ac:dyDescent="0.25">
      <c r="A67" s="1"/>
      <c r="B67" s="2"/>
      <c r="C67" s="3"/>
      <c r="D67" s="2"/>
    </row>
    <row r="68" spans="1:5" ht="18" x14ac:dyDescent="0.25">
      <c r="A68" s="1" t="s">
        <v>0</v>
      </c>
      <c r="B68" s="2"/>
      <c r="C68" s="3"/>
      <c r="D68" s="2">
        <f>D65+D49+D20+D26+D11+D7+D67+D35+D43+D3+D30+D39+D15</f>
        <v>7406.25</v>
      </c>
    </row>
    <row r="69" spans="1:5" ht="18" x14ac:dyDescent="0.25">
      <c r="A69" s="1" t="s">
        <v>1</v>
      </c>
      <c r="B69" s="2"/>
      <c r="C69" s="3"/>
      <c r="D69" s="2">
        <v>15150.04</v>
      </c>
      <c r="E69" s="5"/>
    </row>
    <row r="70" spans="1:5" ht="18" x14ac:dyDescent="0.25">
      <c r="A70" s="1" t="s">
        <v>2</v>
      </c>
      <c r="B70" s="2"/>
      <c r="C70" s="3"/>
      <c r="D70" s="2">
        <f>SUM(D68:D69)</f>
        <v>22556.29</v>
      </c>
      <c r="E70" s="5"/>
    </row>
    <row r="71" spans="1:5" ht="18" x14ac:dyDescent="0.25">
      <c r="A71" s="1" t="s">
        <v>3</v>
      </c>
      <c r="B71" s="2"/>
      <c r="C71" s="3"/>
      <c r="D71" s="2">
        <f>SUM(D73-D70-D72)</f>
        <v>3317.4299999999994</v>
      </c>
      <c r="E71" s="5"/>
    </row>
    <row r="72" spans="1:5" ht="18" x14ac:dyDescent="0.25">
      <c r="A72" s="1" t="s">
        <v>4</v>
      </c>
      <c r="B72" s="2"/>
      <c r="C72" s="3"/>
      <c r="D72" s="2">
        <v>630.79999999999995</v>
      </c>
    </row>
    <row r="73" spans="1:5" ht="22.9" customHeight="1" x14ac:dyDescent="0.25">
      <c r="A73" s="1" t="s">
        <v>5</v>
      </c>
      <c r="B73" s="2"/>
      <c r="C73" s="3"/>
      <c r="D73" s="2">
        <v>26504.52</v>
      </c>
    </row>
    <row r="76" spans="1:5" ht="22.9" customHeight="1" x14ac:dyDescent="0.2"/>
    <row r="80" spans="1:5" x14ac:dyDescent="0.2">
      <c r="D80" s="8"/>
    </row>
    <row r="82" spans="1:4" x14ac:dyDescent="0.2">
      <c r="A82" s="4" t="s">
        <v>10</v>
      </c>
      <c r="D82" s="8"/>
    </row>
    <row r="83" spans="1:4" x14ac:dyDescent="0.2">
      <c r="A83" s="4" t="s">
        <v>27</v>
      </c>
    </row>
    <row r="84" spans="1:4" ht="23.25" customHeight="1" x14ac:dyDescent="0.2">
      <c r="D84" s="8"/>
    </row>
    <row r="85" spans="1:4" ht="24.75" customHeight="1" x14ac:dyDescent="0.2"/>
    <row r="86" spans="1:4" x14ac:dyDescent="0.2">
      <c r="D86" s="8"/>
    </row>
    <row r="88" spans="1:4" x14ac:dyDescent="0.2">
      <c r="D88" s="8"/>
    </row>
    <row r="128" ht="21" customHeight="1" x14ac:dyDescent="0.2"/>
  </sheetData>
  <pageMargins left="0.7" right="0.7" top="0.8175" bottom="0.28499999999999998" header="0.3" footer="0.3"/>
  <pageSetup scale="72" orientation="portrait" r:id="rId1"/>
  <headerFooter>
    <oddHeader>&amp;C&amp;"Baskerville Old Face,Regular"&amp;14 1.6.26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D30" sqref="D3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</dc:creator>
  <cp:lastModifiedBy>kelly welton</cp:lastModifiedBy>
  <cp:lastPrinted>2026-01-08T18:04:40Z</cp:lastPrinted>
  <dcterms:created xsi:type="dcterms:W3CDTF">2013-08-14T13:05:15Z</dcterms:created>
  <dcterms:modified xsi:type="dcterms:W3CDTF">2026-01-08T18:05:22Z</dcterms:modified>
</cp:coreProperties>
</file>